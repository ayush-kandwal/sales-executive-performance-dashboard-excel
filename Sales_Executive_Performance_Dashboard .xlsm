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Excel Data Analyst\"/>
    </mc:Choice>
  </mc:AlternateContent>
  <xr:revisionPtr revIDLastSave="0" documentId="8_{CB7599A3-8566-42F5-B42D-70A9E700273D}" xr6:coauthVersionLast="47" xr6:coauthVersionMax="47" xr10:uidLastSave="{00000000-0000-0000-0000-000000000000}"/>
  <bookViews>
    <workbookView xWindow="22932" yWindow="-108" windowWidth="23256" windowHeight="13176" firstSheet="1" activeTab="1" xr2:uid="{81D512C5-DFD0-45A9-BA7A-3679803E1A90}"/>
  </bookViews>
  <sheets>
    <sheet name="RAW DATA" sheetId="1" r:id="rId1"/>
    <sheet name="DASHBOARD" sheetId="3" r:id="rId2"/>
  </sheets>
  <definedNames>
    <definedName name="Slicer_Region1">#N/A</definedName>
  </definedNames>
  <calcPr calcId="191028"/>
  <pivotCaches>
    <pivotCache cacheId="4561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<sst xmlns="http://schemas.openxmlformats.org/spreadsheetml/2006/main" count="464" uniqueCount="306">
  <si>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</si>
  <si>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</si>
  <si>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</si>
  <si>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</si>
  <si>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</si>
  <si>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</si>
  <si>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</si>
  <si>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</si>
  <si>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</si>
  <si>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</si>
  <si>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</si>
  <si>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</si>
  <si>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</si>
  <si>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</si>
  <si>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</si>
  <si>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</si>
  <si>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</si>
  <si>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</si>
  <si>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</si>
  <si>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</si>
  <si>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</si>
  <si>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</si>
  <si>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</si>
  <si>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</si>
  <si>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</si>
  <si>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</si>
  <si>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</si>
  <si>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</si>
  <si>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</si>
  <si>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</si>
  <si>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</si>
  <si>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</si>
  <si>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</si>
  <si>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</si>
  <si>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</si>
  <si>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</si>
  <si>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</si>
  <si>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</si>
  <si>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</si>
  <si>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</si>
  <si>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</si>
  <si>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</si>
  <si>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</si>
  <si>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</si>
  <si>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</si>
  <si>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</si>
  <si>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</si>
  <si>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</si>
  <si>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</si>
  <si>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</si>
  <si>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</si>
  <si>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</si>
  <si>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</si>
  <si>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</si>
  <si>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</si>
  <si>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</si>
  <si>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</si>
  <si>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</si>
  <si>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</si>
  <si>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</si>
  <si>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</si>
  <si>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</si>
  <si>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</si>
  <si>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</si>
  <si>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</si>
  <si>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</si>
  <si>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</si>
  <si>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</si>
  <si>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</si>
  <si>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</si>
  <si>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</si>
  <si>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</si>
  <si>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</si>
  <si>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</si>
  <si>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</si>
  <si>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</si>
  <si>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</si>
  <si>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</si>
  <si>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</si>
  <si>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</si>
  <si>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</si>
  <si>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</si>
  <si>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</si>
  <si>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</si>
  <si>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</si>
  <si>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</si>
  <si>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</si>
  <si>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</si>
  <si>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</si>
  <si>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</si>
  <si>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</si>
  <si>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</si>
  <si>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</si>
  <si>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</si>
  <si>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</si>
  <si>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</si>
  <si>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</si>
  <si>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</si>
  <si>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</si>
  <si>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</si>
  <si>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</si>
  <si>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</si>
  <si>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</si>
  <si>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</si>
  <si>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</si>
  <si>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</si>
  <si>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</si>
  <si>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</si>
  <si>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</si>
  <si>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</si>
  <si>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</si>
  <si>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</si>
  <si>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</si>
  <si>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</si>
  <si>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</si>
  <si>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</si>
  <si>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</si>
  <si>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</si>
  <si>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</si>
  <si>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</si>
  <si>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</si>
  <si>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</si>
  <si>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</si>
  <si>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</si>
  <si>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</si>
  <si>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</si>
  <si>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</si>
  <si>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</si>
  <si>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</si>
  <si>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</si>
  <si>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</si>
  <si>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</si>
  <si>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</si>
  <si>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</si>
  <si>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</si>
  <si>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</si>
  <si>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</si>
  <si>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</si>
  <si>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</si>
  <si>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</si>
  <si>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</si>
  <si>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</si>
  <si>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</si>
  <si>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</si>
  <si>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</si>
  <si>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</si>
  <si>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</si>
  <si>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</si>
  <si>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</si>
  <si>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</si>
  <si>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</si>
  <si>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</si>
  <si>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</si>
  <si>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</si>
  <si>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</si>
  <si>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</si>
  <si>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</si>
  <si>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</si>
  <si>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</si>
  <si>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</si>
  <si>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</si>
  <si>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</si>
  <si>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</si>
  <si>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</si>
  <si>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</si>
  <si>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</si>
  <si>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</si>
  <si>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</si>
  <si>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</si>
  <si>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</si>
  <si>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</si>
  <si>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</si>
  <si>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</si>
  <si>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</si>
  <si>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</si>
  <si>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</si>
  <si>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</si>
  <si>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</si>
  <si>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</si>
  <si>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</si>
  <si>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</si>
  <si>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</si>
  <si>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</si>
  <si>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</si>
  <si>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</si>
  <si>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</si>
  <si>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</si>
  <si>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</si>
  <si>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</si>
  <si>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</si>
  <si>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</si>
  <si>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</si>
  <si>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</si>
  <si>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</si>
  <si>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</si>
  <si>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</si>
  <si>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</si>
  <si>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</si>
  <si>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</si>
  <si>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</si>
  <si>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</si>
  <si>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</si>
  <si>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</si>
  <si>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</si>
  <si>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</si>
  <si>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</si>
  <si>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</si>
  <si>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</si>
  <si>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</si>
  <si>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</si>
  <si>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</si>
  <si>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</si>
  <si>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</si>
  <si>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</si>
  <si>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</si>
  <si>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</si>
  <si>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</si>
  <si>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</si>
  <si>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</si>
  <si>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</si>
  <si>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</si>
  <si>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</si>
  <si>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</si>
  <si>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</si>
  <si>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</si>
  <si>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</si>
  <si>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</si>
  <si>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</si>
  <si>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</si>
  <si>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</si>
  <si>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</si>
  <si>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</si>
  <si>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</si>
  <si>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</si>
  <si>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</si>
  <si>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</si>
  <si>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</si>
  <si>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</si>
  <si>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</si>
  <si>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</si>
  <si>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</si>
  <si>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</si>
  <si>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</si>
  <si>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</si>
  <si>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</si>
  <si>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</si>
  <si>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</si>
  <si>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</si>
  <si>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</si>
  <si>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</si>
  <si>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</si>
  <si>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</si>
  <si>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</si>
  <si>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</si>
  <si>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</si>
  <si>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</si>
  <si>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</si>
  <si>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</si>
  <si>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</si>
  <si>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</si>
  <si>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</si>
  <si>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</si>
  <si>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</si>
  <si>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</si>
  <si>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</si>
  <si>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</si>
  <si>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</si>
  <si>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</si>
  <si>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</si>
  <si>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</si>
  <si>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</si>
  <si>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</si>
  <si>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</si>
  <si>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</si>
  <si>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</si>
  <si>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</si>
  <si>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</si>
  <si>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</si>
  <si>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</si>
  <si>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</si>
  <si>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</si>
  <si>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</si>
  <si>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</si>
  <si>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</si>
  <si>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</si>
  <si>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</si>
  <si>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</si>
  <si>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</si>
  <si>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</si>
  <si>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</si>
  <si>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</si>
  <si>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</si>
  <si>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</si>
  <si>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</si>
  <si>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</si>
  <si>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</si>
  <si>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</si>
  <si>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</si>
  <si>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</si>
  <si>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</si>
  <si>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</si>
  <si>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</si>
  <si>
    <r>
      <rPr>
        <b/>
        <sz val="18"/>
        <color rgb="FF000000"/>
        <rFont val="Calibri Light"/>
        <scheme val="major"/>
      </rPr>
      <t xml:space="preserve">Sales </t>
    </r>
    <r>
      <rPr>
        <b/>
        <sz val="18"/>
        <color rgb="FF000000"/>
        <rFont val="Calibri"/>
        <scheme val="minor"/>
      </rPr>
      <t>Executive Performance Dashboard</t>
    </r>
  </si>
  <si>
    <t>Sum of Total Sales</t>
  </si>
  <si>
    <t>Sum of Target Hit %</t>
  </si>
  <si>
    <t>Sum of Away From Target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</si>
</sst>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8"/>
      <color rgb="FF000000"/>
      <name val="Calibri Light"/>
      <scheme val="major"/>
    </font>
    <font>
      <b/>
      <sz val="18"/>
      <color rgb="FF000000"/>
      <name val="Calibri"/>
      <scheme val="minor"/>
    </font>
    <font>
      <b/>
      <sz val="18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pivotButton="1"/>
    <xf numFmtId="10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4" borderId="0" xfId="0" applyFill="1" applyAlignment="1"/>
    <xf numFmtId="0" fontId="0" fillId="5" borderId="0" xfId="0" applyFill="1" applyAlignment="1">
      <alignment horizontal="center"/>
    </xf>
    <xf numFmtId="0" fontId="7" fillId="5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microsoft.com/office/2007/relationships/slicerCache" Target="slicerCaches/slicerCach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[Sales_Executive_Performance_Dashboard.xlsm]DASHBOARD!PivotTable1</c:name>
    <c:fmtId val="0"/>
  </c:pivotSource>
  <c:chart>
    <c:autoTitleDeleted val="1"/>
    <c:pivotFmts>
      <c:pivotFmt>
        <c:idx val="0"/>
        <c:spPr>
          <a:solidFill>
            <a:srgbClr val="ED7D3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DASHBOARD!$A$4:$A$8</c:f>
              <c:strCache>
                <c:ptCount val="5"/>
                <c:pt idx="0">
                  <c:v>Kahkasha Parveen</c:v>
                </c:pt>
                <c:pt idx="1">
                  <c:v>Mukesh Nagar</c:v>
                </c:pt>
                <c:pt idx="2">
                  <c:v>Raj Verma</c:v>
                </c:pt>
                <c:pt idx="3">
                  <c:v>Sanju Ramdas</c:v>
                </c:pt>
                <c:pt idx="4">
                  <c:v>Sheeba Joseph</c:v>
                </c:pt>
              </c:strCache>
            </c:strRef>
          </c:cat>
          <c:val>
            <c:numRef>
              <c:f>DASHBOARD!$B$4:$B$8</c:f>
              <c:numCache>
                <c:formatCode>General</c:formatCode>
                <c:ptCount val="5"/>
                <c:pt idx="0">
                  <c:v>351</c:v>
                </c:pt>
                <c:pt idx="1">
                  <c:v>351</c:v>
                </c:pt>
                <c:pt idx="2">
                  <c:v>339</c:v>
                </c:pt>
                <c:pt idx="3">
                  <c:v>332</c:v>
                </c:pt>
                <c:pt idx="4">
                  <c:v>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C2-429C-88D3-4EA432237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1992"/>
        <c:axId val="122891784"/>
      </c:barChart>
      <c:catAx>
        <c:axId val="1001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91784"/>
        <c:crosses val="autoZero"/>
        <c:auto val="1"/>
        <c:lblAlgn val="ctr"/>
        <c:lblOffset val="100"/>
        <c:noMultiLvlLbl val="0"/>
      </c:catAx>
      <c:valAx>
        <c:axId val="122891784"/>
        <c:scaling>
          <c:orientation val="minMax"/>
          <c:min val="26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crossAx val="100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[Sales_Executive_Performance_Dashboard.xlsm]DASHBOARD!PivotTable3</c:name>
    <c:fmtId val="0"/>
  </c:pivotSource>
  <c:chart>
    <c:autoTitleDeleted val="1"/>
    <c:pivotFmts>
      <c:pivotFmt>
        <c:idx val="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637CEF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DASHBOARD!$H$3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637CE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7C-447D-94FF-66FCA182A091}"/>
              </c:ext>
            </c:extLst>
          </c:dPt>
          <c:dPt>
            <c:idx val="1"/>
            <c:bubble3D val="0"/>
            <c:spPr>
              <a:solidFill>
                <a:srgbClr val="E3008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7C-447D-94FF-66FCA182A091}"/>
              </c:ext>
            </c:extLst>
          </c:dPt>
          <c:dPt>
            <c:idx val="2"/>
            <c:bubble3D val="0"/>
            <c:spPr>
              <a:solidFill>
                <a:srgbClr val="2AA0A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47C-447D-94FF-66FCA182A091}"/>
              </c:ext>
            </c:extLst>
          </c:dPt>
          <c:dPt>
            <c:idx val="3"/>
            <c:bubble3D val="0"/>
            <c:spPr>
              <a:solidFill>
                <a:srgbClr val="9373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47C-447D-94FF-66FCA182A091}"/>
              </c:ext>
            </c:extLst>
          </c:dPt>
          <c:dPt>
            <c:idx val="4"/>
            <c:bubble3D val="0"/>
            <c:spPr>
              <a:solidFill>
                <a:srgbClr val="13A10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47C-447D-94FF-66FCA182A0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DASHBOARD!$G$4:$G$8</c:f>
              <c:strCache>
                <c:ptCount val="5"/>
                <c:pt idx="0">
                  <c:v>Kahkasha Parveen</c:v>
                </c:pt>
                <c:pt idx="1">
                  <c:v>Mukesh Nagar</c:v>
                </c:pt>
                <c:pt idx="2">
                  <c:v>Raj Verma</c:v>
                </c:pt>
                <c:pt idx="3">
                  <c:v>Sanju Ramdas</c:v>
                </c:pt>
                <c:pt idx="4">
                  <c:v>Sheeba Joseph</c:v>
                </c:pt>
              </c:strCache>
            </c:strRef>
          </c:cat>
          <c:val>
            <c:numRef>
              <c:f>DASHBOARD!$H$4:$H$8</c:f>
              <c:numCache>
                <c:formatCode>0.00%</c:formatCode>
                <c:ptCount val="5"/>
                <c:pt idx="0">
                  <c:v>0.70199999999999996</c:v>
                </c:pt>
                <c:pt idx="1">
                  <c:v>0.70199999999999996</c:v>
                </c:pt>
                <c:pt idx="2">
                  <c:v>0.67800000000000005</c:v>
                </c:pt>
                <c:pt idx="3">
                  <c:v>0.66400000000000003</c:v>
                </c:pt>
                <c:pt idx="4">
                  <c:v>0.68799999999999994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77-4FFB-AAA7-0AC66BC4562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rgbClr val="E7E6E6"/>
        </a:solidFill>
        <a:ln>
          <a:solidFill>
            <a:srgbClr val="FFFFFF"/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[Sales_Executive_Performance_Dashboard.xlsm]DASHBOARD!PivotTable4</c:name>
    <c:fmtId val="0"/>
  </c:pivotSource>
  <c:chart>
    <c:autoTitleDeleted val="1"/>
    <c:pivotFmts>
      <c:pivotFmt>
        <c:idx val="0"/>
        <c:spPr>
          <a:ln w="28575" cap="rnd">
            <a:solidFill>
              <a:srgbClr val="4472C4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637CEF"/>
            </a:solidFill>
            <a:ln w="9525">
              <a:solidFill>
                <a:srgbClr val="637CE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DASHBOARD!$K$3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4472C4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37CEF"/>
              </a:solidFill>
              <a:ln w="9525">
                <a:solidFill>
                  <a:srgbClr val="637CEF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DASHBOARD!$J$4:$J$8</c:f>
              <c:strCache>
                <c:ptCount val="5"/>
                <c:pt idx="0">
                  <c:v>Krishana Kumar</c:v>
                </c:pt>
                <c:pt idx="1">
                  <c:v>Manoj Kumar</c:v>
                </c:pt>
                <c:pt idx="2">
                  <c:v>Omprakash O</c:v>
                </c:pt>
                <c:pt idx="3">
                  <c:v>Rohit Nishchal</c:v>
                </c:pt>
                <c:pt idx="4">
                  <c:v>Swarnlata Borse</c:v>
                </c:pt>
              </c:strCache>
            </c:strRef>
          </c:cat>
          <c:val>
            <c:numRef>
              <c:f>DASHBOARD!$K$4:$K$8</c:f>
              <c:numCache>
                <c:formatCode>0.00%</c:formatCode>
                <c:ptCount val="5"/>
                <c:pt idx="0">
                  <c:v>0.51</c:v>
                </c:pt>
                <c:pt idx="1">
                  <c:v>0.43799999999999994</c:v>
                </c:pt>
                <c:pt idx="2">
                  <c:v>0.71399999999999997</c:v>
                </c:pt>
                <c:pt idx="3">
                  <c:v>0.58600000000000008</c:v>
                </c:pt>
                <c:pt idx="4">
                  <c:v>0.622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92-4ED9-AB90-A5EF25F7D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2760327"/>
        <c:axId val="1632762375"/>
      </c:lineChart>
      <c:catAx>
        <c:axId val="1632760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762375"/>
        <c:crosses val="autoZero"/>
        <c:auto val="1"/>
        <c:lblAlgn val="ctr"/>
        <c:lblOffset val="100"/>
        <c:noMultiLvlLbl val="0"/>
      </c:catAx>
      <c:valAx>
        <c:axId val="163276237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632760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2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colors3.xml><?xml version="1.0" encoding="utf-8"?>
<cs:colorStyle xmlns:cs="http://schemas.microsoft.com/office/drawing/2012/chartStyle" xmlns:a="http://schemas.openxmlformats.org/drawingml/2006/main" meth="cycle" id="10000">
  <a:srgbClr val="637CEF"/>
  <a:srgbClr val="E3008C"/>
  <a:srgbClr val="2AA0A4"/>
  <a:srgbClr val="9373C0"/>
  <a:srgbClr val="13A10E"/>
  <a:srgbClr val="3A96DD"/>
  <a:srgbClr val="CA5010"/>
  <a:srgbClr val="57811B"/>
  <a:srgbClr val="B146C2"/>
  <a:srgbClr val="AE8C00"/>
  <a:srgbClr val="AE8C00"/>
  <a:srgbClr val="637CEF"/>
  <a:srgbClr val="EE5FB7"/>
  <a:srgbClr val="008B94"/>
  <a:srgbClr val="D77440"/>
  <a:srgbClr val="BA58C9"/>
  <a:srgbClr val="3A96DD"/>
  <a:srgbClr val="E3008C"/>
  <a:srgbClr val="C36BD1"/>
  <a:srgbClr val="D06228"/>
  <a:srgbClr val="57811B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8</xdr:row>
      <xdr:rowOff>142875</xdr:rowOff>
    </xdr:from>
    <xdr:to>
      <xdr:col>4</xdr:col>
      <xdr:colOff>104775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C2F5EA-33A8-E353-E5A7-282B575CD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8</xdr:row>
      <xdr:rowOff>152400</xdr:rowOff>
    </xdr:from>
    <xdr:to>
      <xdr:col>7</xdr:col>
      <xdr:colOff>1104900</xdr:colOff>
      <xdr:row>19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39E8F6-DFE0-9805-F979-F32015B0D78C}"/>
            </a:ext>
            <a:ext uri="{147F2762-F138-4A5C-976F-8EAC2B608ADB}">
              <a16:predDERef xmlns:a16="http://schemas.microsoft.com/office/drawing/2014/main" pred="{34C2F5EA-33A8-E353-E5A7-282B575CD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1285875</xdr:colOff>
      <xdr:row>8</xdr:row>
      <xdr:rowOff>171450</xdr:rowOff>
    </xdr:from>
    <xdr:to>
      <xdr:col>11</xdr:col>
      <xdr:colOff>742950</xdr:colOff>
      <xdr:row>19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3F7121-44CB-F674-7A36-6E164598D888}"/>
            </a:ext>
            <a:ext uri="{147F2762-F138-4A5C-976F-8EAC2B608ADB}">
              <a16:predDERef xmlns:a16="http://schemas.microsoft.com/office/drawing/2014/main" pred="{0339E8F6-DFE0-9805-F979-F32015B0D7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9525</xdr:colOff>
      <xdr:row>1</xdr:row>
      <xdr:rowOff>9525</xdr:rowOff>
    </xdr:from>
    <xdr:to>
      <xdr:col>11</xdr:col>
      <xdr:colOff>809625</xdr:colOff>
      <xdr:row>1</xdr:row>
      <xdr:rowOff>419100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egion 1">
              <a:extLst>
                <a:ext uri="{FF2B5EF4-FFF2-40B4-BE49-F238E27FC236}">
                  <a16:creationId xmlns:a16="http://schemas.microsoft.com/office/drawing/2014/main" id="{FD5D84E8-0BF1-4608-D814-3076010266C0}"/>
                </a:ext>
                <a:ext uri="{147F2762-F138-4A5C-976F-8EAC2B608ADB}">
                  <a16:predDERef xmlns:a16="http://schemas.microsoft.com/office/drawing/2014/main" pred="{153F7121-44CB-F674-7A36-6E164598D88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o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238125"/>
              <a:ext cx="10629900" cy="361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endParaRPr sz="1100"/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711.301322222222" createdVersion="6" refreshedVersion="6" minRefreshableVersion="3" recordCount="141" xr:uid="{8180B0FA-D09D-4041-BC3B-A0DAF7637495}">
  <cacheSource type="worksheet">
    <worksheetSource ref="A1:L142" sheet="RAW DATA"/>
  </cacheSource>
  <cacheFields count="12">
    <cacheField name="Emp Code" numFmtId="14">
      <sharedItems/>
    </cacheField>
    <cacheField name="Sales Executive" numFmtId="0">
      <sharedItems count="141">
        <s v="Raj Verma"/>
        <s v="Tanuja Kale"/>
        <s v="Arvind Sharma"/>
        <s v="Tahira Qureshi"/>
        <s v="Anuj Sharma"/>
        <s v="Syed Sohail"/>
        <s v="Syed Saqib"/>
        <s v="Syed Naved"/>
        <s v="Swarnlata Borse"/>
        <s v="Sushma Khandelwal"/>
        <s v="Surendranath Thakur"/>
        <s v="Surendra Kumar"/>
        <s v="Sunita Madnani"/>
        <s v="Sunita Chawla"/>
        <s v="Sunil Kumar"/>
        <s v="Sudhir Kumar"/>
        <s v="Sudama Kumar"/>
        <s v="Sonaram Munda"/>
        <s v="Sneh Khan"/>
        <s v="Shyamal Malakar"/>
        <s v="Shubhanjali Joshi"/>
        <s v="Shivji Prasad"/>
        <s v="Shephali Jain"/>
        <s v="Sheena Joseph"/>
        <s v="Sheeba Joseph"/>
        <s v="Shashikant Tiwari"/>
        <s v="Shankar Attendant"/>
        <s v="Shailendra Barge"/>
        <s v="Shailaja Kamal"/>
        <s v="Saroj Parita"/>
        <s v="Sapna Sharma"/>
        <s v="Santosh Kumar"/>
        <s v="Sanju Ramdas"/>
        <s v="Sanjiv Subherwal"/>
        <s v="Sanjay Hire"/>
        <s v="Salim"/>
        <s v="Sajid Naqvi"/>
        <s v="Roohi Haider"/>
        <s v="Roma Rastogi"/>
        <s v="Roli Bhatnagar"/>
        <s v="Rohit Nishchal"/>
        <s v="Ritu Bhatnagar"/>
        <s v="Renu Pratap"/>
        <s v="Rekha Jain "/>
        <s v="Rekha Gupta"/>
        <s v="Rekha Agarwal"/>
        <s v="Ravinder Kaur"/>
        <s v="Ravi Kumar"/>
        <s v="Rashmi Gajbe"/>
        <s v="Rashid"/>
        <s v="Ramji Prasad"/>
        <s v="Rakhi Jodhani"/>
        <s v="Rajshree Dhabekar"/>
        <s v="Raji Abraham"/>
        <s v="Rajesh Sharma"/>
        <s v="Rajesh Kumar"/>
        <s v="Rajendra Prasad"/>
        <s v="Rajendra Kumar"/>
        <s v="Rajendra Gupta"/>
        <s v="Rajeev Kumar"/>
        <s v="Rajeev Garg"/>
        <s v="Raj Kumar"/>
        <s v="Rachna Chauhan"/>
        <s v="Rachita Anupam"/>
        <s v="Rachel Mathew"/>
        <s v="Praveen Kumar"/>
        <s v="Prasannakumari S"/>
        <s v="Pramod Tiwari"/>
        <s v="Prabha Desikan"/>
        <s v="Partha Sarathi"/>
        <s v="Pankaj Shelkey"/>
        <s v="Owais Mohd"/>
        <s v="Omprakash O"/>
        <s v="Om Prakash"/>
        <s v="Nitin Bhatia"/>
        <s v="Nikita Panwalkar"/>
        <s v="Neeru Mehta"/>
        <s v="Neeraj Saxena"/>
        <s v="Narayan Singh"/>
        <s v="Nandu Kumar"/>
        <s v="Mukesh Nagar"/>
        <s v="Mubeen Khan"/>
        <s v="Mohd Rafi"/>
        <s v="Miny Mole"/>
        <s v="Mercy Thampi"/>
        <s v="Mehnaz Khan"/>
        <s v="Meena Zinjare"/>
        <s v="Masroor Adil"/>
        <s v="Manoj Kumar"/>
        <s v="ManjuTiwari Lab"/>
        <s v="Manjusha Sinha"/>
        <s v="Manisha Shrivastava"/>
        <s v="Mangal Singh"/>
        <s v="Lilly Lucy"/>
        <s v="Leena George"/>
        <s v="Kunj Bihari"/>
        <s v="Krishana Kumar"/>
        <s v="Kisun Sah"/>
        <s v="Kiran Khubchandani"/>
        <s v="Kavita Sharma"/>
        <s v="Kamini Tiwari"/>
        <s v="Kamini Kumar"/>
        <s v="Kalpana Agrawal"/>
        <s v="Kailash Nath"/>
        <s v="Kahkasha Parveen"/>
        <s v="Jyoti Tulsani"/>
        <s v="Julie S"/>
        <s v="John D'Costa"/>
        <s v="Jitendra Kumar"/>
        <s v="Janardan Mishra"/>
        <s v="Jairaj Vatham"/>
        <s v="Jagdish Chandra"/>
        <s v="Indra Singh"/>
        <s v="Indra Pal"/>
        <s v="Heeramani Choudhary"/>
        <s v="Hari Kumar"/>
        <s v="Dinesh Kumar"/>
        <s v="Deepika Nigam"/>
        <s v="Deepak Kumar"/>
        <s v="Daleep Singh"/>
        <s v="Bindu Nair"/>
        <s v="Bhagwat Singh"/>
        <s v="Azam"/>
        <s v="Atul Kumar"/>
        <s v="Ashok Mahto"/>
        <s v="Ashok Kumar"/>
        <s v="Ashish Kumar"/>
        <s v="Arun Kumar"/>
        <s v="Anubhuti Gupta"/>
        <s v="Anoop Raj"/>
        <s v="Anoop Narayan"/>
        <s v="Annu Latika"/>
        <s v="Anjali Sahay"/>
        <s v="Anjali Deoram"/>
        <s v="Anita Ghore"/>
        <s v="Anita Dixit"/>
        <s v="Anil Kumar"/>
        <s v="Anikuttan"/>
        <s v="Anamika Gupta"/>
        <s v="Afzal Husain"/>
        <s v="Abdul Hamid"/>
      </sharedItems>
    </cacheField>
    <cacheField name="Region" numFmtId="0">
      <sharedItems count="8">
        <s v="Mumbai"/>
        <s v="Delhi"/>
        <s v="Nagpur"/>
        <s v="Chennai"/>
        <s v="Pune"/>
        <s v="Patna"/>
        <s v="Ranchi"/>
        <s v="Surat"/>
      </sharedItems>
    </cacheField>
    <cacheField name="Day1" numFmtId="0">
      <sharedItems containsSemiMixedTypes="0" containsString="0" containsNumber="1" containsInteger="1" minValue="10" maxValue="99"/>
    </cacheField>
    <cacheField name="Day2" numFmtId="0">
      <sharedItems containsSemiMixedTypes="0" containsString="0" containsNumber="1" containsInteger="1" minValue="11" maxValue="99"/>
    </cacheField>
    <cacheField name="Day3" numFmtId="0">
      <sharedItems containsSemiMixedTypes="0" containsString="0" containsNumber="1" containsInteger="1" minValue="10" maxValue="99"/>
    </cacheField>
    <cacheField name="Day4" numFmtId="0">
      <sharedItems containsSemiMixedTypes="0" containsString="0" containsNumber="1" containsInteger="1" minValue="11" maxValue="99"/>
    </cacheField>
    <cacheField name="Day5" numFmtId="0">
      <sharedItems containsSemiMixedTypes="0" containsString="0" containsNumber="1" containsInteger="1" minValue="10" maxValue="99"/>
    </cacheField>
    <cacheField name="Total Sales" numFmtId="0">
      <sharedItems containsSemiMixedTypes="0" containsString="0" containsNumber="1" containsInteger="1" minValue="143" maxValue="389"/>
    </cacheField>
    <cacheField name="Target" numFmtId="0">
      <sharedItems containsSemiMixedTypes="0" containsString="0" containsNumber="1" containsInteger="1" minValue="500" maxValue="500"/>
    </cacheField>
    <cacheField name="Target Hit %" numFmtId="10">
      <sharedItems containsSemiMixedTypes="0" containsString="0" containsNumber="1" minValue="0.28599999999999998" maxValue="0.77800000000000002"/>
    </cacheField>
    <cacheField name="Away From Target %" numFmtId="10">
      <sharedItems containsSemiMixedTypes="0" containsString="0" containsNumber="1" minValue="0.22199999999999998" maxValue="0.71399999999999997"/>
    </cacheField>
  </cacheFields>
  <extLst>
    <ext xmlns:x14="http://schemas.microsoft.com/office/spreadsheetml/2009/9/main" uri="{725AE2AE-9491-48be-B2B4-4EB974FC3084}">
      <x14:pivotCacheDefinition pivotCacheId="93566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s v="Mum-TCL001"/>
    <x v="0"/>
    <x v="0"/>
    <n v="49"/>
    <n v="84"/>
    <n v="98"/>
    <n v="67"/>
    <n v="41"/>
    <n v="339"/>
    <n v="500"/>
    <n v="0.67800000000000005"/>
    <n v="0.32199999999999995"/>
  </r>
  <r>
    <s v="Mum-TCL002"/>
    <x v="1"/>
    <x v="1"/>
    <n v="44"/>
    <n v="85"/>
    <n v="47"/>
    <n v="15"/>
    <n v="48"/>
    <n v="239"/>
    <n v="500"/>
    <n v="0.47799999999999998"/>
    <n v="0.52200000000000002"/>
  </r>
  <r>
    <s v="Mum-TCL003"/>
    <x v="2"/>
    <x v="2"/>
    <n v="45"/>
    <n v="79"/>
    <n v="88"/>
    <n v="73"/>
    <n v="94"/>
    <n v="379"/>
    <n v="500"/>
    <n v="0.75800000000000001"/>
    <n v="0.24199999999999999"/>
  </r>
  <r>
    <s v="Mum-TCL004"/>
    <x v="3"/>
    <x v="3"/>
    <n v="52"/>
    <n v="99"/>
    <n v="13"/>
    <n v="95"/>
    <n v="29"/>
    <n v="288"/>
    <n v="500"/>
    <n v="0.57599999999999996"/>
    <n v="0.42400000000000004"/>
  </r>
  <r>
    <s v="Mum-TCL005"/>
    <x v="4"/>
    <x v="4"/>
    <n v="35"/>
    <n v="54"/>
    <n v="49"/>
    <n v="26"/>
    <n v="49"/>
    <n v="213"/>
    <n v="500"/>
    <n v="0.42599999999999999"/>
    <n v="0.57400000000000007"/>
  </r>
  <r>
    <s v="Mum-TCL006"/>
    <x v="5"/>
    <x v="5"/>
    <n v="86"/>
    <n v="31"/>
    <n v="23"/>
    <n v="48"/>
    <n v="77"/>
    <n v="265"/>
    <n v="500"/>
    <n v="0.53"/>
    <n v="0.47"/>
  </r>
  <r>
    <s v="Mum-TCL007"/>
    <x v="6"/>
    <x v="6"/>
    <n v="84"/>
    <n v="28"/>
    <n v="98"/>
    <n v="80"/>
    <n v="79"/>
    <n v="369"/>
    <n v="500"/>
    <n v="0.73799999999999999"/>
    <n v="0.26200000000000001"/>
  </r>
  <r>
    <s v="Mum-TCL008"/>
    <x v="7"/>
    <x v="7"/>
    <n v="73"/>
    <n v="97"/>
    <n v="38"/>
    <n v="24"/>
    <n v="53"/>
    <n v="285"/>
    <n v="500"/>
    <n v="0.56999999999999995"/>
    <n v="0.43000000000000005"/>
  </r>
  <r>
    <s v="Mum-TCL009"/>
    <x v="8"/>
    <x v="0"/>
    <n v="54"/>
    <n v="26"/>
    <n v="53"/>
    <n v="36"/>
    <n v="20"/>
    <n v="189"/>
    <n v="500"/>
    <n v="0.378"/>
    <n v="0.622"/>
  </r>
  <r>
    <s v="Mum-TCL010"/>
    <x v="9"/>
    <x v="1"/>
    <n v="52"/>
    <n v="52"/>
    <n v="19"/>
    <n v="53"/>
    <n v="37"/>
    <n v="213"/>
    <n v="500"/>
    <n v="0.42599999999999999"/>
    <n v="0.57400000000000007"/>
  </r>
  <r>
    <s v="Mum-TCL011"/>
    <x v="10"/>
    <x v="2"/>
    <n v="63"/>
    <n v="17"/>
    <n v="40"/>
    <n v="48"/>
    <n v="51"/>
    <n v="219"/>
    <n v="500"/>
    <n v="0.438"/>
    <n v="0.56200000000000006"/>
  </r>
  <r>
    <s v="Mum-TCL012"/>
    <x v="11"/>
    <x v="3"/>
    <n v="79"/>
    <n v="99"/>
    <n v="95"/>
    <n v="12"/>
    <n v="91"/>
    <n v="376"/>
    <n v="500"/>
    <n v="0.752"/>
    <n v="0.248"/>
  </r>
  <r>
    <s v="Mum-TCL013"/>
    <x v="12"/>
    <x v="4"/>
    <n v="95"/>
    <n v="88"/>
    <n v="11"/>
    <n v="78"/>
    <n v="60"/>
    <n v="332"/>
    <n v="500"/>
    <n v="0.66400000000000003"/>
    <n v="0.33599999999999997"/>
  </r>
  <r>
    <s v="Mum-TCL014"/>
    <x v="13"/>
    <x v="5"/>
    <n v="83"/>
    <n v="77"/>
    <n v="66"/>
    <n v="22"/>
    <n v="40"/>
    <n v="288"/>
    <n v="500"/>
    <n v="0.57599999999999996"/>
    <n v="0.42400000000000004"/>
  </r>
  <r>
    <s v="Mum-TCL015"/>
    <x v="14"/>
    <x v="6"/>
    <n v="78"/>
    <n v="58"/>
    <n v="34"/>
    <n v="84"/>
    <n v="31"/>
    <n v="285"/>
    <n v="500"/>
    <n v="0.56999999999999995"/>
    <n v="0.43000000000000005"/>
  </r>
  <r>
    <s v="Mum-TCL016"/>
    <x v="15"/>
    <x v="7"/>
    <n v="14"/>
    <n v="25"/>
    <n v="45"/>
    <n v="70"/>
    <n v="45"/>
    <n v="199"/>
    <n v="500"/>
    <n v="0.39800000000000002"/>
    <n v="0.60199999999999998"/>
  </r>
  <r>
    <s v="Mum-TCL017"/>
    <x v="16"/>
    <x v="0"/>
    <n v="37"/>
    <n v="69"/>
    <n v="96"/>
    <n v="66"/>
    <n v="38"/>
    <n v="306"/>
    <n v="500"/>
    <n v="0.61199999999999999"/>
    <n v="0.38800000000000001"/>
  </r>
  <r>
    <s v="Mum-TCL018"/>
    <x v="17"/>
    <x v="1"/>
    <n v="11"/>
    <n v="46"/>
    <n v="91"/>
    <n v="98"/>
    <n v="45"/>
    <n v="291"/>
    <n v="500"/>
    <n v="0.58199999999999996"/>
    <n v="0.41800000000000004"/>
  </r>
  <r>
    <s v="Mum-TCL019"/>
    <x v="18"/>
    <x v="2"/>
    <n v="19"/>
    <n v="34"/>
    <n v="64"/>
    <n v="65"/>
    <n v="70"/>
    <n v="252"/>
    <n v="500"/>
    <n v="0.504"/>
    <n v="0.496"/>
  </r>
  <r>
    <s v="Mum-TCL020"/>
    <x v="19"/>
    <x v="3"/>
    <n v="93"/>
    <n v="84"/>
    <n v="13"/>
    <n v="45"/>
    <n v="18"/>
    <n v="253"/>
    <n v="500"/>
    <n v="0.50600000000000001"/>
    <n v="0.49399999999999999"/>
  </r>
  <r>
    <s v="Mum-TCL021"/>
    <x v="20"/>
    <x v="4"/>
    <n v="68"/>
    <n v="73"/>
    <n v="97"/>
    <n v="76"/>
    <n v="53"/>
    <n v="367"/>
    <n v="500"/>
    <n v="0.73399999999999999"/>
    <n v="0.26600000000000001"/>
  </r>
  <r>
    <s v="Mum-TCL022"/>
    <x v="21"/>
    <x v="5"/>
    <n v="99"/>
    <n v="17"/>
    <n v="48"/>
    <n v="44"/>
    <n v="93"/>
    <n v="301"/>
    <n v="500"/>
    <n v="0.60199999999999998"/>
    <n v="0.39800000000000002"/>
  </r>
  <r>
    <s v="Mum-TCL023"/>
    <x v="22"/>
    <x v="6"/>
    <n v="57"/>
    <n v="28"/>
    <n v="31"/>
    <n v="34"/>
    <n v="52"/>
    <n v="202"/>
    <n v="500"/>
    <n v="0.40400000000000003"/>
    <n v="0.59599999999999997"/>
  </r>
  <r>
    <s v="Mum-TCL024"/>
    <x v="23"/>
    <x v="7"/>
    <n v="40"/>
    <n v="22"/>
    <n v="18"/>
    <n v="11"/>
    <n v="92"/>
    <n v="183"/>
    <n v="500"/>
    <n v="0.36599999999999999"/>
    <n v="0.63400000000000001"/>
  </r>
  <r>
    <s v="Mum-TCL025"/>
    <x v="24"/>
    <x v="0"/>
    <n v="47"/>
    <n v="99"/>
    <n v="94"/>
    <n v="75"/>
    <n v="29"/>
    <n v="344"/>
    <n v="500"/>
    <n v="0.68799999999999994"/>
    <n v="0.31200000000000006"/>
  </r>
  <r>
    <s v="Mum-TCL026"/>
    <x v="25"/>
    <x v="1"/>
    <n v="16"/>
    <n v="71"/>
    <n v="80"/>
    <n v="76"/>
    <n v="33"/>
    <n v="276"/>
    <n v="500"/>
    <n v="0.55200000000000005"/>
    <n v="0.44799999999999995"/>
  </r>
  <r>
    <s v="Mum-TCL027"/>
    <x v="26"/>
    <x v="2"/>
    <n v="72"/>
    <n v="87"/>
    <n v="92"/>
    <n v="72"/>
    <n v="34"/>
    <n v="357"/>
    <n v="500"/>
    <n v="0.71399999999999997"/>
    <n v="0.28600000000000003"/>
  </r>
  <r>
    <s v="Mum-TCL028"/>
    <x v="27"/>
    <x v="3"/>
    <n v="30"/>
    <n v="38"/>
    <n v="70"/>
    <n v="89"/>
    <n v="97"/>
    <n v="324"/>
    <n v="500"/>
    <n v="0.64800000000000002"/>
    <n v="0.35199999999999998"/>
  </r>
  <r>
    <s v="Mum-TCL029"/>
    <x v="28"/>
    <x v="4"/>
    <n v="65"/>
    <n v="90"/>
    <n v="91"/>
    <n v="85"/>
    <n v="10"/>
    <n v="341"/>
    <n v="500"/>
    <n v="0.68200000000000005"/>
    <n v="0.31799999999999995"/>
  </r>
  <r>
    <s v="Mum-TCL030"/>
    <x v="29"/>
    <x v="5"/>
    <n v="83"/>
    <n v="46"/>
    <n v="99"/>
    <n v="36"/>
    <n v="89"/>
    <n v="353"/>
    <n v="500"/>
    <n v="0.70599999999999996"/>
    <n v="0.29400000000000004"/>
  </r>
  <r>
    <s v="Mum-TCL031"/>
    <x v="30"/>
    <x v="6"/>
    <n v="10"/>
    <n v="66"/>
    <n v="40"/>
    <n v="22"/>
    <n v="38"/>
    <n v="176"/>
    <n v="500"/>
    <n v="0.35199999999999998"/>
    <n v="0.64800000000000002"/>
  </r>
  <r>
    <s v="Mum-TCL032"/>
    <x v="31"/>
    <x v="7"/>
    <n v="37"/>
    <n v="30"/>
    <n v="19"/>
    <n v="77"/>
    <n v="67"/>
    <n v="230"/>
    <n v="500"/>
    <n v="0.46"/>
    <n v="0.54"/>
  </r>
  <r>
    <s v="Mum-TCL033"/>
    <x v="32"/>
    <x v="0"/>
    <n v="83"/>
    <n v="46"/>
    <n v="17"/>
    <n v="94"/>
    <n v="92"/>
    <n v="332"/>
    <n v="500"/>
    <n v="0.66400000000000003"/>
    <n v="0.33599999999999997"/>
  </r>
  <r>
    <s v="Mum-TCL034"/>
    <x v="33"/>
    <x v="1"/>
    <n v="84"/>
    <n v="59"/>
    <n v="41"/>
    <n v="17"/>
    <n v="22"/>
    <n v="223"/>
    <n v="500"/>
    <n v="0.44600000000000001"/>
    <n v="0.55400000000000005"/>
  </r>
  <r>
    <s v="Mum-TCL035"/>
    <x v="34"/>
    <x v="2"/>
    <n v="82"/>
    <n v="54"/>
    <n v="79"/>
    <n v="61"/>
    <n v="47"/>
    <n v="323"/>
    <n v="500"/>
    <n v="0.64600000000000002"/>
    <n v="0.35399999999999998"/>
  </r>
  <r>
    <s v="Mum-TCL036"/>
    <x v="35"/>
    <x v="3"/>
    <n v="47"/>
    <n v="23"/>
    <n v="19"/>
    <n v="64"/>
    <n v="61"/>
    <n v="214"/>
    <n v="500"/>
    <n v="0.42799999999999999"/>
    <n v="0.57200000000000006"/>
  </r>
  <r>
    <s v="Mum-TCL037"/>
    <x v="36"/>
    <x v="4"/>
    <n v="91"/>
    <n v="13"/>
    <n v="79"/>
    <n v="85"/>
    <n v="67"/>
    <n v="335"/>
    <n v="500"/>
    <n v="0.67"/>
    <n v="0.32999999999999996"/>
  </r>
  <r>
    <s v="Mum-TCL038"/>
    <x v="37"/>
    <x v="5"/>
    <n v="66"/>
    <n v="59"/>
    <n v="25"/>
    <n v="55"/>
    <n v="59"/>
    <n v="264"/>
    <n v="500"/>
    <n v="0.52800000000000002"/>
    <n v="0.47199999999999998"/>
  </r>
  <r>
    <s v="Mum-TCL039"/>
    <x v="38"/>
    <x v="6"/>
    <n v="70"/>
    <n v="18"/>
    <n v="88"/>
    <n v="46"/>
    <n v="52"/>
    <n v="274"/>
    <n v="500"/>
    <n v="0.54800000000000004"/>
    <n v="0.45199999999999996"/>
  </r>
  <r>
    <s v="Mum-TCL040"/>
    <x v="39"/>
    <x v="7"/>
    <n v="37"/>
    <n v="60"/>
    <n v="44"/>
    <n v="61"/>
    <n v="30"/>
    <n v="232"/>
    <n v="500"/>
    <n v="0.46400000000000002"/>
    <n v="0.53600000000000003"/>
  </r>
  <r>
    <s v="Mum-TCL041"/>
    <x v="40"/>
    <x v="0"/>
    <n v="16"/>
    <n v="46"/>
    <n v="33"/>
    <n v="54"/>
    <n v="58"/>
    <n v="207"/>
    <n v="500"/>
    <n v="0.41399999999999998"/>
    <n v="0.58600000000000008"/>
  </r>
  <r>
    <s v="Mum-TCL042"/>
    <x v="41"/>
    <x v="1"/>
    <n v="47"/>
    <n v="97"/>
    <n v="74"/>
    <n v="97"/>
    <n v="56"/>
    <n v="371"/>
    <n v="500"/>
    <n v="0.74199999999999999"/>
    <n v="0.25800000000000001"/>
  </r>
  <r>
    <s v="Mum-TCL043"/>
    <x v="42"/>
    <x v="2"/>
    <n v="86"/>
    <n v="22"/>
    <n v="10"/>
    <n v="60"/>
    <n v="28"/>
    <n v="206"/>
    <n v="500"/>
    <n v="0.41199999999999998"/>
    <n v="0.58800000000000008"/>
  </r>
  <r>
    <s v="Mum-TCL044"/>
    <x v="43"/>
    <x v="3"/>
    <n v="74"/>
    <n v="17"/>
    <n v="45"/>
    <n v="64"/>
    <n v="13"/>
    <n v="213"/>
    <n v="500"/>
    <n v="0.42599999999999999"/>
    <n v="0.57400000000000007"/>
  </r>
  <r>
    <s v="Mum-TCL045"/>
    <x v="44"/>
    <x v="4"/>
    <n v="80"/>
    <n v="51"/>
    <n v="15"/>
    <n v="97"/>
    <n v="42"/>
    <n v="285"/>
    <n v="500"/>
    <n v="0.56999999999999995"/>
    <n v="0.43000000000000005"/>
  </r>
  <r>
    <s v="Mum-TCL046"/>
    <x v="45"/>
    <x v="5"/>
    <n v="49"/>
    <n v="82"/>
    <n v="95"/>
    <n v="46"/>
    <n v="78"/>
    <n v="350"/>
    <n v="500"/>
    <n v="0.7"/>
    <n v="0.30000000000000004"/>
  </r>
  <r>
    <s v="Mum-TCL047"/>
    <x v="46"/>
    <x v="6"/>
    <n v="17"/>
    <n v="88"/>
    <n v="12"/>
    <n v="54"/>
    <n v="21"/>
    <n v="192"/>
    <n v="500"/>
    <n v="0.38400000000000001"/>
    <n v="0.61599999999999999"/>
  </r>
  <r>
    <s v="Mum-TCL048"/>
    <x v="47"/>
    <x v="7"/>
    <n v="74"/>
    <n v="16"/>
    <n v="74"/>
    <n v="36"/>
    <n v="33"/>
    <n v="233"/>
    <n v="500"/>
    <n v="0.46600000000000003"/>
    <n v="0.53400000000000003"/>
  </r>
  <r>
    <s v="Mum-TCL049"/>
    <x v="48"/>
    <x v="0"/>
    <n v="73"/>
    <n v="72"/>
    <n v="38"/>
    <n v="19"/>
    <n v="90"/>
    <n v="292"/>
    <n v="500"/>
    <n v="0.58399999999999996"/>
    <n v="0.41600000000000004"/>
  </r>
  <r>
    <s v="Mum-TCL050"/>
    <x v="49"/>
    <x v="1"/>
    <n v="17"/>
    <n v="84"/>
    <n v="90"/>
    <n v="77"/>
    <n v="72"/>
    <n v="340"/>
    <n v="500"/>
    <n v="0.68"/>
    <n v="0.31999999999999995"/>
  </r>
  <r>
    <s v="Mum-TCL051"/>
    <x v="50"/>
    <x v="2"/>
    <n v="52"/>
    <n v="36"/>
    <n v="84"/>
    <n v="41"/>
    <n v="57"/>
    <n v="270"/>
    <n v="500"/>
    <n v="0.54"/>
    <n v="0.45999999999999996"/>
  </r>
  <r>
    <s v="Mum-TCL052"/>
    <x v="51"/>
    <x v="3"/>
    <n v="65"/>
    <n v="67"/>
    <n v="72"/>
    <n v="22"/>
    <n v="23"/>
    <n v="249"/>
    <n v="500"/>
    <n v="0.498"/>
    <n v="0.502"/>
  </r>
  <r>
    <s v="Mum-TCL053"/>
    <x v="52"/>
    <x v="4"/>
    <n v="88"/>
    <n v="39"/>
    <n v="25"/>
    <n v="99"/>
    <n v="71"/>
    <n v="322"/>
    <n v="500"/>
    <n v="0.64400000000000002"/>
    <n v="0.35599999999999998"/>
  </r>
  <r>
    <s v="Mum-TCL054"/>
    <x v="53"/>
    <x v="5"/>
    <n v="23"/>
    <n v="14"/>
    <n v="15"/>
    <n v="58"/>
    <n v="79"/>
    <n v="189"/>
    <n v="500"/>
    <n v="0.378"/>
    <n v="0.622"/>
  </r>
  <r>
    <s v="Mum-TCL055"/>
    <x v="54"/>
    <x v="6"/>
    <n v="15"/>
    <n v="67"/>
    <n v="48"/>
    <n v="95"/>
    <n v="35"/>
    <n v="260"/>
    <n v="500"/>
    <n v="0.52"/>
    <n v="0.48"/>
  </r>
  <r>
    <s v="Mum-TCL056"/>
    <x v="55"/>
    <x v="7"/>
    <n v="18"/>
    <n v="35"/>
    <n v="82"/>
    <n v="31"/>
    <n v="26"/>
    <n v="192"/>
    <n v="500"/>
    <n v="0.38400000000000001"/>
    <n v="0.61599999999999999"/>
  </r>
  <r>
    <s v="Mum-TCL057"/>
    <x v="56"/>
    <x v="0"/>
    <n v="57"/>
    <n v="60"/>
    <n v="42"/>
    <n v="81"/>
    <n v="44"/>
    <n v="284"/>
    <n v="500"/>
    <n v="0.56799999999999995"/>
    <n v="0.43200000000000005"/>
  </r>
  <r>
    <s v="Mum-TCL058"/>
    <x v="57"/>
    <x v="1"/>
    <n v="34"/>
    <n v="97"/>
    <n v="66"/>
    <n v="45"/>
    <n v="50"/>
    <n v="292"/>
    <n v="500"/>
    <n v="0.58399999999999996"/>
    <n v="0.41600000000000004"/>
  </r>
  <r>
    <s v="Mum-TCL059"/>
    <x v="58"/>
    <x v="2"/>
    <n v="83"/>
    <n v="12"/>
    <n v="70"/>
    <n v="83"/>
    <n v="52"/>
    <n v="300"/>
    <n v="500"/>
    <n v="0.6"/>
    <n v="0.4"/>
  </r>
  <r>
    <s v="Mum-TCL060"/>
    <x v="59"/>
    <x v="3"/>
    <n v="76"/>
    <n v="55"/>
    <n v="56"/>
    <n v="16"/>
    <n v="61"/>
    <n v="264"/>
    <n v="500"/>
    <n v="0.52800000000000002"/>
    <n v="0.47199999999999998"/>
  </r>
  <r>
    <s v="Mum-TCL061"/>
    <x v="60"/>
    <x v="4"/>
    <n v="40"/>
    <n v="70"/>
    <n v="19"/>
    <n v="36"/>
    <n v="52"/>
    <n v="217"/>
    <n v="500"/>
    <n v="0.434"/>
    <n v="0.56600000000000006"/>
  </r>
  <r>
    <s v="Mum-TCL062"/>
    <x v="61"/>
    <x v="5"/>
    <n v="44"/>
    <n v="60"/>
    <n v="71"/>
    <n v="34"/>
    <n v="37"/>
    <n v="246"/>
    <n v="500"/>
    <n v="0.49199999999999999"/>
    <n v="0.50800000000000001"/>
  </r>
  <r>
    <s v="Mum-TCL063"/>
    <x v="62"/>
    <x v="6"/>
    <n v="43"/>
    <n v="78"/>
    <n v="15"/>
    <n v="98"/>
    <n v="33"/>
    <n v="267"/>
    <n v="500"/>
    <n v="0.53400000000000003"/>
    <n v="0.46599999999999997"/>
  </r>
  <r>
    <s v="Mum-TCL064"/>
    <x v="63"/>
    <x v="7"/>
    <n v="75"/>
    <n v="75"/>
    <n v="89"/>
    <n v="97"/>
    <n v="49"/>
    <n v="385"/>
    <n v="500"/>
    <n v="0.77"/>
    <n v="0.22999999999999998"/>
  </r>
  <r>
    <s v="Mum-TCL065"/>
    <x v="64"/>
    <x v="0"/>
    <n v="74"/>
    <n v="51"/>
    <n v="97"/>
    <n v="73"/>
    <n v="33"/>
    <n v="328"/>
    <n v="500"/>
    <n v="0.65600000000000003"/>
    <n v="0.34399999999999997"/>
  </r>
  <r>
    <s v="Mum-TCL066"/>
    <x v="65"/>
    <x v="1"/>
    <n v="44"/>
    <n v="36"/>
    <n v="11"/>
    <n v="45"/>
    <n v="30"/>
    <n v="166"/>
    <n v="500"/>
    <n v="0.33200000000000002"/>
    <n v="0.66799999999999993"/>
  </r>
  <r>
    <s v="Mum-TCL067"/>
    <x v="66"/>
    <x v="2"/>
    <n v="87"/>
    <n v="79"/>
    <n v="46"/>
    <n v="65"/>
    <n v="65"/>
    <n v="342"/>
    <n v="500"/>
    <n v="0.68400000000000005"/>
    <n v="0.31599999999999995"/>
  </r>
  <r>
    <s v="Mum-TCL068"/>
    <x v="67"/>
    <x v="3"/>
    <n v="70"/>
    <n v="52"/>
    <n v="80"/>
    <n v="43"/>
    <n v="48"/>
    <n v="293"/>
    <n v="500"/>
    <n v="0.58599999999999997"/>
    <n v="0.41400000000000003"/>
  </r>
  <r>
    <s v="Mum-TCL069"/>
    <x v="68"/>
    <x v="4"/>
    <n v="45"/>
    <n v="26"/>
    <n v="27"/>
    <n v="14"/>
    <n v="59"/>
    <n v="171"/>
    <n v="500"/>
    <n v="0.34200000000000003"/>
    <n v="0.65799999999999992"/>
  </r>
  <r>
    <s v="Mum-TCL070"/>
    <x v="69"/>
    <x v="5"/>
    <n v="51"/>
    <n v="26"/>
    <n v="58"/>
    <n v="83"/>
    <n v="11"/>
    <n v="229"/>
    <n v="500"/>
    <n v="0.45800000000000002"/>
    <n v="0.54200000000000004"/>
  </r>
  <r>
    <s v="Mum-TCL071"/>
    <x v="70"/>
    <x v="6"/>
    <n v="68"/>
    <n v="36"/>
    <n v="15"/>
    <n v="20"/>
    <n v="17"/>
    <n v="156"/>
    <n v="500"/>
    <n v="0.312"/>
    <n v="0.68799999999999994"/>
  </r>
  <r>
    <s v="Mum-TCL072"/>
    <x v="71"/>
    <x v="7"/>
    <n v="32"/>
    <n v="74"/>
    <n v="18"/>
    <n v="33"/>
    <n v="51"/>
    <n v="208"/>
    <n v="500"/>
    <n v="0.41599999999999998"/>
    <n v="0.58400000000000007"/>
  </r>
  <r>
    <s v="Mum-TCL073"/>
    <x v="72"/>
    <x v="0"/>
    <n v="41"/>
    <n v="11"/>
    <n v="46"/>
    <n v="35"/>
    <n v="10"/>
    <n v="143"/>
    <n v="500"/>
    <n v="0.28599999999999998"/>
    <n v="0.71399999999999997"/>
  </r>
  <r>
    <s v="Mum-TCL074"/>
    <x v="73"/>
    <x v="1"/>
    <n v="41"/>
    <n v="17"/>
    <n v="82"/>
    <n v="75"/>
    <n v="39"/>
    <n v="254"/>
    <n v="500"/>
    <n v="0.50800000000000001"/>
    <n v="0.49199999999999999"/>
  </r>
  <r>
    <s v="Mum-TCL075"/>
    <x v="74"/>
    <x v="2"/>
    <n v="12"/>
    <n v="97"/>
    <n v="45"/>
    <n v="29"/>
    <n v="41"/>
    <n v="224"/>
    <n v="500"/>
    <n v="0.44800000000000001"/>
    <n v="0.55200000000000005"/>
  </r>
  <r>
    <s v="Mum-TCL076"/>
    <x v="75"/>
    <x v="3"/>
    <n v="19"/>
    <n v="72"/>
    <n v="87"/>
    <n v="82"/>
    <n v="27"/>
    <n v="287"/>
    <n v="500"/>
    <n v="0.57399999999999995"/>
    <n v="0.42600000000000005"/>
  </r>
  <r>
    <s v="Mum-TCL077"/>
    <x v="76"/>
    <x v="4"/>
    <n v="98"/>
    <n v="15"/>
    <n v="72"/>
    <n v="67"/>
    <n v="34"/>
    <n v="286"/>
    <n v="500"/>
    <n v="0.57199999999999995"/>
    <n v="0.42800000000000005"/>
  </r>
  <r>
    <s v="Mum-TCL078"/>
    <x v="77"/>
    <x v="5"/>
    <n v="50"/>
    <n v="44"/>
    <n v="46"/>
    <n v="13"/>
    <n v="92"/>
    <n v="245"/>
    <n v="500"/>
    <n v="0.49"/>
    <n v="0.51"/>
  </r>
  <r>
    <s v="Mum-TCL079"/>
    <x v="78"/>
    <x v="6"/>
    <n v="40"/>
    <n v="82"/>
    <n v="72"/>
    <n v="42"/>
    <n v="45"/>
    <n v="281"/>
    <n v="500"/>
    <n v="0.56200000000000006"/>
    <n v="0.43799999999999994"/>
  </r>
  <r>
    <s v="Mum-TCL080"/>
    <x v="79"/>
    <x v="7"/>
    <n v="23"/>
    <n v="83"/>
    <n v="63"/>
    <n v="65"/>
    <n v="83"/>
    <n v="317"/>
    <n v="500"/>
    <n v="0.63400000000000001"/>
    <n v="0.36599999999999999"/>
  </r>
  <r>
    <s v="Mum-TCL081"/>
    <x v="80"/>
    <x v="0"/>
    <n v="71"/>
    <n v="94"/>
    <n v="45"/>
    <n v="95"/>
    <n v="46"/>
    <n v="351"/>
    <n v="500"/>
    <n v="0.70199999999999996"/>
    <n v="0.29800000000000004"/>
  </r>
  <r>
    <s v="Mum-TCL082"/>
    <x v="81"/>
    <x v="1"/>
    <n v="48"/>
    <n v="49"/>
    <n v="68"/>
    <n v="23"/>
    <n v="21"/>
    <n v="209"/>
    <n v="500"/>
    <n v="0.41799999999999998"/>
    <n v="0.58200000000000007"/>
  </r>
  <r>
    <s v="Mum-TCL083"/>
    <x v="82"/>
    <x v="2"/>
    <n v="77"/>
    <n v="83"/>
    <n v="64"/>
    <n v="53"/>
    <n v="13"/>
    <n v="290"/>
    <n v="500"/>
    <n v="0.57999999999999996"/>
    <n v="0.42000000000000004"/>
  </r>
  <r>
    <s v="Mum-TCL084"/>
    <x v="83"/>
    <x v="3"/>
    <n v="81"/>
    <n v="63"/>
    <n v="88"/>
    <n v="89"/>
    <n v="63"/>
    <n v="384"/>
    <n v="500"/>
    <n v="0.76800000000000002"/>
    <n v="0.23199999999999998"/>
  </r>
  <r>
    <s v="Mum-TCL085"/>
    <x v="84"/>
    <x v="4"/>
    <n v="39"/>
    <n v="87"/>
    <n v="62"/>
    <n v="80"/>
    <n v="81"/>
    <n v="349"/>
    <n v="500"/>
    <n v="0.69799999999999995"/>
    <n v="0.30200000000000005"/>
  </r>
  <r>
    <s v="Mum-TCL086"/>
    <x v="85"/>
    <x v="5"/>
    <n v="46"/>
    <n v="19"/>
    <n v="59"/>
    <n v="58"/>
    <n v="33"/>
    <n v="215"/>
    <n v="500"/>
    <n v="0.43"/>
    <n v="0.57000000000000006"/>
  </r>
  <r>
    <s v="Mum-TCL087"/>
    <x v="86"/>
    <x v="6"/>
    <n v="34"/>
    <n v="15"/>
    <n v="43"/>
    <n v="63"/>
    <n v="54"/>
    <n v="209"/>
    <n v="500"/>
    <n v="0.41799999999999998"/>
    <n v="0.58200000000000007"/>
  </r>
  <r>
    <s v="Mum-TCL088"/>
    <x v="87"/>
    <x v="7"/>
    <n v="32"/>
    <n v="79"/>
    <n v="65"/>
    <n v="57"/>
    <n v="73"/>
    <n v="306"/>
    <n v="500"/>
    <n v="0.61199999999999999"/>
    <n v="0.38800000000000001"/>
  </r>
  <r>
    <s v="Mum-TCL089"/>
    <x v="88"/>
    <x v="0"/>
    <n v="72"/>
    <n v="82"/>
    <n v="58"/>
    <n v="36"/>
    <n v="33"/>
    <n v="281"/>
    <n v="500"/>
    <n v="0.56200000000000006"/>
    <n v="0.43799999999999994"/>
  </r>
  <r>
    <s v="Mum-TCL090"/>
    <x v="89"/>
    <x v="1"/>
    <n v="11"/>
    <n v="69"/>
    <n v="49"/>
    <n v="90"/>
    <n v="99"/>
    <n v="318"/>
    <n v="500"/>
    <n v="0.63600000000000001"/>
    <n v="0.36399999999999999"/>
  </r>
  <r>
    <s v="Mum-TCL091"/>
    <x v="90"/>
    <x v="2"/>
    <n v="80"/>
    <n v="73"/>
    <n v="21"/>
    <n v="72"/>
    <n v="54"/>
    <n v="300"/>
    <n v="500"/>
    <n v="0.6"/>
    <n v="0.4"/>
  </r>
  <r>
    <s v="Mum-TCL092"/>
    <x v="91"/>
    <x v="3"/>
    <n v="93"/>
    <n v="42"/>
    <n v="38"/>
    <n v="98"/>
    <n v="10"/>
    <n v="281"/>
    <n v="500"/>
    <n v="0.56200000000000006"/>
    <n v="0.43799999999999994"/>
  </r>
  <r>
    <s v="Mum-TCL093"/>
    <x v="92"/>
    <x v="4"/>
    <n v="18"/>
    <n v="80"/>
    <n v="20"/>
    <n v="32"/>
    <n v="95"/>
    <n v="245"/>
    <n v="500"/>
    <n v="0.49"/>
    <n v="0.51"/>
  </r>
  <r>
    <s v="Mum-TCL094"/>
    <x v="93"/>
    <x v="5"/>
    <n v="96"/>
    <n v="14"/>
    <n v="20"/>
    <n v="31"/>
    <n v="44"/>
    <n v="205"/>
    <n v="500"/>
    <n v="0.41"/>
    <n v="0.59000000000000008"/>
  </r>
  <r>
    <s v="Mum-TCL095"/>
    <x v="94"/>
    <x v="6"/>
    <n v="37"/>
    <n v="60"/>
    <n v="50"/>
    <n v="68"/>
    <n v="19"/>
    <n v="234"/>
    <n v="500"/>
    <n v="0.46800000000000003"/>
    <n v="0.53200000000000003"/>
  </r>
  <r>
    <s v="Mum-TCL096"/>
    <x v="95"/>
    <x v="7"/>
    <n v="35"/>
    <n v="79"/>
    <n v="17"/>
    <n v="85"/>
    <n v="16"/>
    <n v="232"/>
    <n v="500"/>
    <n v="0.46400000000000002"/>
    <n v="0.53600000000000003"/>
  </r>
  <r>
    <s v="Mum-TCL097"/>
    <x v="96"/>
    <x v="0"/>
    <n v="31"/>
    <n v="48"/>
    <n v="56"/>
    <n v="85"/>
    <n v="25"/>
    <n v="245"/>
    <n v="500"/>
    <n v="0.49"/>
    <n v="0.51"/>
  </r>
  <r>
    <s v="Mum-TCL098"/>
    <x v="97"/>
    <x v="1"/>
    <n v="23"/>
    <n v="83"/>
    <n v="86"/>
    <n v="69"/>
    <n v="25"/>
    <n v="286"/>
    <n v="500"/>
    <n v="0.57199999999999995"/>
    <n v="0.42800000000000005"/>
  </r>
  <r>
    <s v="Mum-TCL099"/>
    <x v="98"/>
    <x v="2"/>
    <n v="17"/>
    <n v="97"/>
    <n v="81"/>
    <n v="32"/>
    <n v="76"/>
    <n v="303"/>
    <n v="500"/>
    <n v="0.60599999999999998"/>
    <n v="0.39400000000000002"/>
  </r>
  <r>
    <s v="Mum-TCL100"/>
    <x v="99"/>
    <x v="3"/>
    <n v="92"/>
    <n v="45"/>
    <n v="43"/>
    <n v="91"/>
    <n v="47"/>
    <n v="318"/>
    <n v="500"/>
    <n v="0.63600000000000001"/>
    <n v="0.36399999999999999"/>
  </r>
  <r>
    <s v="Mum-TCL101"/>
    <x v="100"/>
    <x v="4"/>
    <n v="49"/>
    <n v="77"/>
    <n v="18"/>
    <n v="69"/>
    <n v="55"/>
    <n v="268"/>
    <n v="500"/>
    <n v="0.53600000000000003"/>
    <n v="0.46399999999999997"/>
  </r>
  <r>
    <s v="Mum-TCL102"/>
    <x v="101"/>
    <x v="5"/>
    <n v="81"/>
    <n v="88"/>
    <n v="19"/>
    <n v="95"/>
    <n v="39"/>
    <n v="322"/>
    <n v="500"/>
    <n v="0.64400000000000002"/>
    <n v="0.35599999999999998"/>
  </r>
  <r>
    <s v="Mum-TCL103"/>
    <x v="102"/>
    <x v="6"/>
    <n v="55"/>
    <n v="14"/>
    <n v="41"/>
    <n v="40"/>
    <n v="70"/>
    <n v="220"/>
    <n v="500"/>
    <n v="0.44"/>
    <n v="0.56000000000000005"/>
  </r>
  <r>
    <s v="Mum-TCL104"/>
    <x v="103"/>
    <x v="7"/>
    <n v="86"/>
    <n v="13"/>
    <n v="99"/>
    <n v="25"/>
    <n v="83"/>
    <n v="306"/>
    <n v="500"/>
    <n v="0.61199999999999999"/>
    <n v="0.38800000000000001"/>
  </r>
  <r>
    <s v="Mum-TCL105"/>
    <x v="104"/>
    <x v="0"/>
    <n v="88"/>
    <n v="96"/>
    <n v="16"/>
    <n v="65"/>
    <n v="86"/>
    <n v="351"/>
    <n v="500"/>
    <n v="0.70199999999999996"/>
    <n v="0.29800000000000004"/>
  </r>
  <r>
    <s v="Mum-TCL106"/>
    <x v="105"/>
    <x v="1"/>
    <n v="61"/>
    <n v="73"/>
    <n v="34"/>
    <n v="30"/>
    <n v="30"/>
    <n v="228"/>
    <n v="500"/>
    <n v="0.45600000000000002"/>
    <n v="0.54400000000000004"/>
  </r>
  <r>
    <s v="Mum-TCL107"/>
    <x v="106"/>
    <x v="2"/>
    <n v="61"/>
    <n v="91"/>
    <n v="53"/>
    <n v="78"/>
    <n v="91"/>
    <n v="374"/>
    <n v="500"/>
    <n v="0.748"/>
    <n v="0.252"/>
  </r>
  <r>
    <s v="Mum-TCL108"/>
    <x v="107"/>
    <x v="3"/>
    <n v="75"/>
    <n v="53"/>
    <n v="27"/>
    <n v="26"/>
    <n v="30"/>
    <n v="211"/>
    <n v="500"/>
    <n v="0.42199999999999999"/>
    <n v="0.57800000000000007"/>
  </r>
  <r>
    <s v="Mum-TCL109"/>
    <x v="108"/>
    <x v="4"/>
    <n v="24"/>
    <n v="31"/>
    <n v="41"/>
    <n v="57"/>
    <n v="83"/>
    <n v="236"/>
    <n v="500"/>
    <n v="0.47199999999999998"/>
    <n v="0.52800000000000002"/>
  </r>
  <r>
    <s v="Mum-TCL110"/>
    <x v="109"/>
    <x v="5"/>
    <n v="83"/>
    <n v="62"/>
    <n v="32"/>
    <n v="83"/>
    <n v="95"/>
    <n v="355"/>
    <n v="500"/>
    <n v="0.71"/>
    <n v="0.29000000000000004"/>
  </r>
  <r>
    <s v="Mum-TCL111"/>
    <x v="110"/>
    <x v="6"/>
    <n v="39"/>
    <n v="52"/>
    <n v="72"/>
    <n v="99"/>
    <n v="58"/>
    <n v="320"/>
    <n v="500"/>
    <n v="0.64"/>
    <n v="0.36"/>
  </r>
  <r>
    <s v="Mum-TCL112"/>
    <x v="111"/>
    <x v="7"/>
    <n v="93"/>
    <n v="74"/>
    <n v="85"/>
    <n v="47"/>
    <n v="90"/>
    <n v="389"/>
    <n v="500"/>
    <n v="0.77800000000000002"/>
    <n v="0.22199999999999998"/>
  </r>
  <r>
    <s v="Mum-TCL113"/>
    <x v="112"/>
    <x v="0"/>
    <n v="43"/>
    <n v="88"/>
    <n v="35"/>
    <n v="54"/>
    <n v="91"/>
    <n v="311"/>
    <n v="500"/>
    <n v="0.622"/>
    <n v="0.378"/>
  </r>
  <r>
    <s v="Mum-TCL114"/>
    <x v="113"/>
    <x v="1"/>
    <n v="87"/>
    <n v="15"/>
    <n v="11"/>
    <n v="42"/>
    <n v="88"/>
    <n v="243"/>
    <n v="500"/>
    <n v="0.48599999999999999"/>
    <n v="0.51400000000000001"/>
  </r>
  <r>
    <s v="Mum-TCL115"/>
    <x v="114"/>
    <x v="2"/>
    <n v="45"/>
    <n v="45"/>
    <n v="61"/>
    <n v="11"/>
    <n v="52"/>
    <n v="214"/>
    <n v="500"/>
    <n v="0.42799999999999999"/>
    <n v="0.57200000000000006"/>
  </r>
  <r>
    <s v="Mum-TCL116"/>
    <x v="115"/>
    <x v="3"/>
    <n v="71"/>
    <n v="42"/>
    <n v="17"/>
    <n v="57"/>
    <n v="96"/>
    <n v="283"/>
    <n v="500"/>
    <n v="0.56599999999999995"/>
    <n v="0.43400000000000005"/>
  </r>
  <r>
    <s v="Mum-TCL117"/>
    <x v="116"/>
    <x v="4"/>
    <n v="26"/>
    <n v="65"/>
    <n v="17"/>
    <n v="28"/>
    <n v="30"/>
    <n v="166"/>
    <n v="500"/>
    <n v="0.33200000000000002"/>
    <n v="0.66799999999999993"/>
  </r>
  <r>
    <s v="Mum-TCL118"/>
    <x v="117"/>
    <x v="5"/>
    <n v="26"/>
    <n v="61"/>
    <n v="89"/>
    <n v="71"/>
    <n v="33"/>
    <n v="280"/>
    <n v="500"/>
    <n v="0.56000000000000005"/>
    <n v="0.43999999999999995"/>
  </r>
  <r>
    <s v="Mum-TCL119"/>
    <x v="118"/>
    <x v="6"/>
    <n v="93"/>
    <n v="11"/>
    <n v="93"/>
    <n v="31"/>
    <n v="30"/>
    <n v="258"/>
    <n v="500"/>
    <n v="0.51600000000000001"/>
    <n v="0.48399999999999999"/>
  </r>
  <r>
    <s v="Mum-TCL120"/>
    <x v="119"/>
    <x v="7"/>
    <n v="65"/>
    <n v="92"/>
    <n v="48"/>
    <n v="96"/>
    <n v="15"/>
    <n v="316"/>
    <n v="500"/>
    <n v="0.63200000000000001"/>
    <n v="0.36799999999999999"/>
  </r>
  <r>
    <s v="Mum-TCL121"/>
    <x v="120"/>
    <x v="0"/>
    <n v="91"/>
    <n v="38"/>
    <n v="33"/>
    <n v="55"/>
    <n v="83"/>
    <n v="300"/>
    <n v="500"/>
    <n v="0.6"/>
    <n v="0.4"/>
  </r>
  <r>
    <s v="Mum-TCL122"/>
    <x v="121"/>
    <x v="1"/>
    <n v="20"/>
    <n v="94"/>
    <n v="45"/>
    <n v="70"/>
    <n v="98"/>
    <n v="327"/>
    <n v="500"/>
    <n v="0.65400000000000003"/>
    <n v="0.34599999999999997"/>
  </r>
  <r>
    <s v="Mum-TCL123"/>
    <x v="122"/>
    <x v="2"/>
    <n v="25"/>
    <n v="83"/>
    <n v="26"/>
    <n v="68"/>
    <n v="22"/>
    <n v="224"/>
    <n v="500"/>
    <n v="0.44800000000000001"/>
    <n v="0.55200000000000005"/>
  </r>
  <r>
    <s v="Mum-TCL124"/>
    <x v="123"/>
    <x v="3"/>
    <n v="26"/>
    <n v="16"/>
    <n v="61"/>
    <n v="92"/>
    <n v="50"/>
    <n v="245"/>
    <n v="500"/>
    <n v="0.49"/>
    <n v="0.51"/>
  </r>
  <r>
    <s v="Mum-TCL125"/>
    <x v="124"/>
    <x v="4"/>
    <n v="31"/>
    <n v="55"/>
    <n v="75"/>
    <n v="66"/>
    <n v="75"/>
    <n v="302"/>
    <n v="500"/>
    <n v="0.60399999999999998"/>
    <n v="0.39600000000000002"/>
  </r>
  <r>
    <s v="Mum-TCL126"/>
    <x v="125"/>
    <x v="5"/>
    <n v="41"/>
    <n v="66"/>
    <n v="48"/>
    <n v="70"/>
    <n v="48"/>
    <n v="273"/>
    <n v="500"/>
    <n v="0.54600000000000004"/>
    <n v="0.45399999999999996"/>
  </r>
  <r>
    <s v="Mum-TCL127"/>
    <x v="126"/>
    <x v="6"/>
    <n v="60"/>
    <n v="92"/>
    <n v="32"/>
    <n v="60"/>
    <n v="78"/>
    <n v="322"/>
    <n v="500"/>
    <n v="0.64400000000000002"/>
    <n v="0.35599999999999998"/>
  </r>
  <r>
    <s v="Mum-TCL128"/>
    <x v="127"/>
    <x v="7"/>
    <n v="42"/>
    <n v="24"/>
    <n v="19"/>
    <n v="82"/>
    <n v="16"/>
    <n v="183"/>
    <n v="500"/>
    <n v="0.36599999999999999"/>
    <n v="0.63400000000000001"/>
  </r>
  <r>
    <s v="Mum-TCL129"/>
    <x v="128"/>
    <x v="0"/>
    <n v="26"/>
    <n v="85"/>
    <n v="75"/>
    <n v="83"/>
    <n v="37"/>
    <n v="306"/>
    <n v="500"/>
    <n v="0.61199999999999999"/>
    <n v="0.38800000000000001"/>
  </r>
  <r>
    <s v="Mum-TCL130"/>
    <x v="129"/>
    <x v="1"/>
    <n v="81"/>
    <n v="68"/>
    <n v="74"/>
    <n v="72"/>
    <n v="12"/>
    <n v="307"/>
    <n v="500"/>
    <n v="0.61399999999999999"/>
    <n v="0.38600000000000001"/>
  </r>
  <r>
    <s v="Mum-TCL131"/>
    <x v="130"/>
    <x v="2"/>
    <n v="90"/>
    <n v="79"/>
    <n v="99"/>
    <n v="60"/>
    <n v="27"/>
    <n v="355"/>
    <n v="500"/>
    <n v="0.71"/>
    <n v="0.29000000000000004"/>
  </r>
  <r>
    <s v="Mum-TCL132"/>
    <x v="131"/>
    <x v="3"/>
    <n v="71"/>
    <n v="21"/>
    <n v="70"/>
    <n v="53"/>
    <n v="49"/>
    <n v="264"/>
    <n v="500"/>
    <n v="0.52800000000000002"/>
    <n v="0.47199999999999998"/>
  </r>
  <r>
    <s v="Mum-TCL133"/>
    <x v="132"/>
    <x v="4"/>
    <n v="86"/>
    <n v="60"/>
    <n v="59"/>
    <n v="51"/>
    <n v="90"/>
    <n v="346"/>
    <n v="500"/>
    <n v="0.69199999999999995"/>
    <n v="0.30800000000000005"/>
  </r>
  <r>
    <s v="Mum-TCL134"/>
    <x v="133"/>
    <x v="5"/>
    <n v="68"/>
    <n v="61"/>
    <n v="12"/>
    <n v="41"/>
    <n v="35"/>
    <n v="217"/>
    <n v="500"/>
    <n v="0.434"/>
    <n v="0.56600000000000006"/>
  </r>
  <r>
    <s v="Mum-TCL135"/>
    <x v="134"/>
    <x v="6"/>
    <n v="65"/>
    <n v="34"/>
    <n v="15"/>
    <n v="86"/>
    <n v="71"/>
    <n v="271"/>
    <n v="500"/>
    <n v="0.54200000000000004"/>
    <n v="0.45799999999999996"/>
  </r>
  <r>
    <s v="Mum-TCL136"/>
    <x v="135"/>
    <x v="7"/>
    <n v="91"/>
    <n v="21"/>
    <n v="59"/>
    <n v="85"/>
    <n v="60"/>
    <n v="316"/>
    <n v="500"/>
    <n v="0.63200000000000001"/>
    <n v="0.36799999999999999"/>
  </r>
  <r>
    <s v="Mum-TCL137"/>
    <x v="136"/>
    <x v="0"/>
    <n v="73"/>
    <n v="67"/>
    <n v="49"/>
    <n v="56"/>
    <n v="43"/>
    <n v="288"/>
    <n v="500"/>
    <n v="0.57599999999999996"/>
    <n v="0.42400000000000004"/>
  </r>
  <r>
    <s v="Mum-TCL138"/>
    <x v="137"/>
    <x v="1"/>
    <n v="72"/>
    <n v="49"/>
    <n v="93"/>
    <n v="95"/>
    <n v="73"/>
    <n v="382"/>
    <n v="500"/>
    <n v="0.76400000000000001"/>
    <n v="0.23599999999999999"/>
  </r>
  <r>
    <s v="Mum-TCL139"/>
    <x v="138"/>
    <x v="2"/>
    <n v="85"/>
    <n v="43"/>
    <n v="74"/>
    <n v="26"/>
    <n v="88"/>
    <n v="316"/>
    <n v="500"/>
    <n v="0.63200000000000001"/>
    <n v="0.36799999999999999"/>
  </r>
  <r>
    <s v="Mum-TCL140"/>
    <x v="139"/>
    <x v="3"/>
    <n v="77"/>
    <n v="81"/>
    <n v="10"/>
    <n v="65"/>
    <n v="83"/>
    <n v="316"/>
    <n v="500"/>
    <n v="0.63200000000000001"/>
    <n v="0.36799999999999999"/>
  </r>
  <r>
    <s v="Mum-TCL141"/>
    <x v="140"/>
    <x v="4"/>
    <n v="46"/>
    <n v="52"/>
    <n v="57"/>
    <n v="67"/>
    <n v="64"/>
    <n v="286"/>
    <n v="500"/>
    <n v="0.57199999999999995"/>
    <n v="0.4280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043E07-E0C7-46E5-9ECC-D324F77EA1DA}" name="PivotTable2" cacheId="456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compact="0" compactData="0" multipleFieldFilters="0">
  <location ref="D3:E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46"/>
    </i>
    <i>
      <x v="54"/>
    </i>
    <i>
      <x v="70"/>
    </i>
    <i>
      <x v="103"/>
    </i>
    <i>
      <x v="135"/>
    </i>
  </rowItems>
  <colItems count="1">
    <i/>
  </colItems>
  <dataFields count="1">
    <dataField name="Sum of Total Sales" fld="8" baseField="0" baseItem="0"/>
  </dataFields>
  <pivotTableStyleInfo name="PivotStyleDark2" showRowHeaders="1" showColHeaders="1" showRowStripes="0" showColStripes="0" showLastColumn="1"/>
  <filters count="1">
    <filter fld="1" type="count" evalOrder="-1" id="3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704EA-7FAA-470D-83CC-CB58DF8E6F23}" name="PivotTable1" cacheId="456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compact="0" compactData="0" multipleFieldFilters="0" chartFormat="1">
  <location ref="A3:B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numFmtId="10" outline="0" showAll="0"/>
    <pivotField compact="0" numFmtId="10" outline="0" showAll="0"/>
  </pivotFields>
  <rowFields count="1">
    <field x="1"/>
  </rowFields>
  <rowItems count="5">
    <i>
      <x v="38"/>
    </i>
    <i>
      <x v="62"/>
    </i>
    <i>
      <x v="82"/>
    </i>
    <i>
      <x v="111"/>
    </i>
    <i>
      <x v="119"/>
    </i>
  </rowItems>
  <colItems count="1">
    <i/>
  </colItems>
  <dataFields count="1">
    <dataField name="Sum of Total Sales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2" showRowHeaders="1" showColHeaders="1" showRowStripes="0" showColStripes="0" showLastColumn="1"/>
  <filters count="1">
    <filter fld="1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194BCB-3217-4F33-90C4-B35E745B920E}" name="PivotTable4" cacheId="4561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compact="0" compactData="0" multipleFieldFilters="0" chartFormat="1">
  <location ref="J3:K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0" outline="0" showAll="0"/>
    <pivotField dataField="1" compact="0" numFmtId="10" outline="0" showAll="0"/>
  </pivotFields>
  <rowFields count="1">
    <field x="1"/>
  </rowFields>
  <rowItems count="5">
    <i>
      <x v="46"/>
    </i>
    <i>
      <x v="54"/>
    </i>
    <i>
      <x v="70"/>
    </i>
    <i>
      <x v="103"/>
    </i>
    <i>
      <x v="135"/>
    </i>
  </rowItems>
  <colItems count="1">
    <i/>
  </colItems>
  <dataFields count="1">
    <dataField name="Sum of Away From Target %" fld="11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6" showRowHeaders="1" showColHeaders="1" showRowStripes="0" showColStripes="0" showLastColumn="1"/>
  <filters count="1">
    <filter fld="1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88A12C-4C9E-4F17-807F-D644898CE8DE}" name="PivotTable3" cacheId="45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 chartFormat="1">
  <location ref="G3:H8" firstHeaderRow="1" firstDataRow="1" firstDataCol="1"/>
  <pivotFields count="12">
    <pivotField compact="0" outline="0" showAll="0"/>
    <pivotField axis="axisRow" compact="0" outline="0" showAll="0" measureFilter="1">
      <items count="142"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4"/>
        <item x="127"/>
        <item x="2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0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3"/>
        <item x="1"/>
        <item t="default"/>
      </items>
    </pivotField>
    <pivotField compact="0" outline="0" showAll="0">
      <items count="9">
        <item h="1" x="3"/>
        <item h="1" x="1"/>
        <item x="0"/>
        <item h="1" x="2"/>
        <item h="1" x="5"/>
        <item h="1" x="4"/>
        <item h="1" x="6"/>
        <item h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10" outline="0" showAll="0"/>
    <pivotField compact="0" numFmtId="10" outline="0" showAll="0"/>
  </pivotFields>
  <rowFields count="1">
    <field x="1"/>
  </rowFields>
  <rowItems count="5">
    <i>
      <x v="38"/>
    </i>
    <i>
      <x v="62"/>
    </i>
    <i>
      <x v="82"/>
    </i>
    <i>
      <x v="111"/>
    </i>
    <i>
      <x v="119"/>
    </i>
  </rowItems>
  <colItems count="1">
    <i/>
  </colItems>
  <dataFields count="1">
    <dataField name="Sum of Target Hit %" fld="10" baseField="0" baseItem="0" numFmtId="1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98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14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12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2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82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11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11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63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79"/>
          </reference>
        </references>
      </pivotArea>
    </chartFormat>
  </chartFormats>
  <pivotTableStyleInfo name="PivotStyleDark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Region1" xr10:uid="{8281E8DF-4770-4FD5-96D1-8DCA43DAFF48}" sourceName="Region">
  <pivotTables>
    <pivotTable tabId="3" name="PivotTable1"/>
    <pivotTable tabId="3" name="PivotTable2"/>
    <pivotTable tabId="3" name="PivotTable3"/>
    <pivotTable tabId="3" name="PivotTable4"/>
  </pivotTables>
  <data>
    <tabular pivotCacheId="93566871">
      <items count="8">
        <i x="3"/>
        <i x="1"/>
        <i x="0" s="1"/>
        <i x="2"/>
        <i x="5"/>
        <i x="4"/>
        <i x="6"/>
        <i x="7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gion 1" xr10:uid="{12351155-0235-44E8-966E-43F70A5549C4}" cache="Slicer_Region1" caption="Region" columnCount="8" showCaption="0" style="SlicerStyleDark1" rowHeight="4572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zoomScale="130" zoomScaleNormal="130" workbookViewId="0">
      <selection activeCell="B10" sqref="B10"/>
    </sheetView>
  </sheetViews>
  <sheetFormatPr defaultRowHeight="14.45"/>
  <cols>
    <col min="1" max="1" width="11.42578125" bestFit="1" customWidth="1"/>
    <col min="2" max="2" width="20.28515625" customWidth="1"/>
    <col min="3" max="3" width="10.7109375" customWidth="1"/>
    <col min="4" max="4" width="8" customWidth="1"/>
    <col min="5" max="8" width="5" bestFit="1" customWidth="1"/>
    <col min="9" max="9" width="9.28515625" bestFit="1" customWidth="1"/>
    <col min="10" max="10" width="6" bestFit="1" customWidth="1"/>
    <col min="11" max="11" width="10.5703125" bestFit="1" customWidth="1"/>
    <col min="12" max="12" width="17.28515625" bestFit="1" customWidth="1"/>
  </cols>
  <sheetData>
    <row r="1" spans="1:1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3B668-E9CF-4D8B-9F40-E4D21E6E16CC}">
  <dimension ref="A1:L23"/>
  <sheetViews>
    <sheetView showGridLines="0" tabSelected="1" workbookViewId="0">
      <selection activeCell="L2" sqref="L2"/>
    </sheetView>
  </sheetViews>
  <sheetFormatPr defaultRowHeight="15"/>
  <cols>
    <col min="1" max="1" width="18.85546875" customWidth="1"/>
    <col min="2" max="2" width="17.140625" bestFit="1" customWidth="1"/>
    <col min="3" max="3" width="3.5703125" customWidth="1"/>
    <col min="4" max="4" width="19.42578125" customWidth="1"/>
    <col min="5" max="5" width="17.140625" bestFit="1" customWidth="1"/>
    <col min="6" max="6" width="3.28515625" customWidth="1"/>
    <col min="7" max="7" width="17.5703125" bestFit="1" customWidth="1"/>
    <col min="8" max="8" width="18.42578125" customWidth="1"/>
    <col min="9" max="9" width="3.28515625" customWidth="1"/>
    <col min="10" max="10" width="17.5703125" bestFit="1" customWidth="1"/>
    <col min="11" max="11" width="24.85546875" customWidth="1"/>
    <col min="12" max="12" width="25.42578125" bestFit="1" customWidth="1"/>
  </cols>
  <sheetData>
    <row r="1" spans="1:12" ht="27.75" customHeight="1">
      <c r="A1" s="15" t="s">
        <v>302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ht="34.5" customHeight="1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</row>
    <row r="3" spans="1:12">
      <c r="A3" s="9" t="s">
        <v>1</v>
      </c>
      <c r="B3" t="s">
        <v>303</v>
      </c>
      <c r="C3" s="12"/>
      <c r="D3" s="9" t="s">
        <v>1</v>
      </c>
      <c r="E3" t="s">
        <v>303</v>
      </c>
      <c r="F3" s="12"/>
      <c r="G3" s="9" t="s">
        <v>1</v>
      </c>
      <c r="H3" t="s">
        <v>304</v>
      </c>
      <c r="I3" s="12"/>
      <c r="J3" s="9" t="s">
        <v>1</v>
      </c>
      <c r="K3" t="s">
        <v>305</v>
      </c>
      <c r="L3" s="12"/>
    </row>
    <row r="4" spans="1:12">
      <c r="A4" t="s">
        <v>229</v>
      </c>
      <c r="B4" s="11">
        <v>351</v>
      </c>
      <c r="C4" s="12"/>
      <c r="D4" t="s">
        <v>213</v>
      </c>
      <c r="E4" s="11">
        <v>245</v>
      </c>
      <c r="F4" s="12"/>
      <c r="G4" t="s">
        <v>229</v>
      </c>
      <c r="H4" s="10">
        <v>0.70199999999999996</v>
      </c>
      <c r="I4" s="12"/>
      <c r="J4" t="s">
        <v>213</v>
      </c>
      <c r="K4" s="10">
        <v>0.51</v>
      </c>
      <c r="L4" s="12"/>
    </row>
    <row r="5" spans="1:12">
      <c r="A5" t="s">
        <v>181</v>
      </c>
      <c r="B5" s="11">
        <v>351</v>
      </c>
      <c r="C5" s="12"/>
      <c r="D5" t="s">
        <v>197</v>
      </c>
      <c r="E5" s="11">
        <v>281</v>
      </c>
      <c r="F5" s="12"/>
      <c r="G5" t="s">
        <v>181</v>
      </c>
      <c r="H5" s="10">
        <v>0.70199999999999996</v>
      </c>
      <c r="I5" s="12"/>
      <c r="J5" t="s">
        <v>197</v>
      </c>
      <c r="K5" s="10">
        <v>0.43799999999999994</v>
      </c>
      <c r="L5" s="12"/>
    </row>
    <row r="6" spans="1:12">
      <c r="A6" t="s">
        <v>13</v>
      </c>
      <c r="B6" s="11">
        <v>339</v>
      </c>
      <c r="C6" s="12"/>
      <c r="D6" t="s">
        <v>165</v>
      </c>
      <c r="E6" s="11">
        <v>143</v>
      </c>
      <c r="F6" s="12"/>
      <c r="G6" t="s">
        <v>13</v>
      </c>
      <c r="H6" s="10">
        <v>0.67800000000000005</v>
      </c>
      <c r="I6" s="12"/>
      <c r="J6" t="s">
        <v>165</v>
      </c>
      <c r="K6" s="10">
        <v>0.71399999999999997</v>
      </c>
      <c r="L6" s="13"/>
    </row>
    <row r="7" spans="1:12">
      <c r="A7" t="s">
        <v>85</v>
      </c>
      <c r="B7" s="11">
        <v>332</v>
      </c>
      <c r="C7" s="12"/>
      <c r="D7" t="s">
        <v>101</v>
      </c>
      <c r="E7" s="11">
        <v>207</v>
      </c>
      <c r="F7" s="12"/>
      <c r="G7" t="s">
        <v>85</v>
      </c>
      <c r="H7" s="10">
        <v>0.66400000000000003</v>
      </c>
      <c r="I7" s="12"/>
      <c r="J7" t="s">
        <v>101</v>
      </c>
      <c r="K7" s="10">
        <v>0.58600000000000008</v>
      </c>
      <c r="L7" s="12"/>
    </row>
    <row r="8" spans="1:12">
      <c r="A8" t="s">
        <v>69</v>
      </c>
      <c r="B8" s="11">
        <v>344</v>
      </c>
      <c r="C8" s="12"/>
      <c r="D8" t="s">
        <v>37</v>
      </c>
      <c r="E8" s="11">
        <v>189</v>
      </c>
      <c r="F8" s="12"/>
      <c r="G8" t="s">
        <v>69</v>
      </c>
      <c r="H8" s="10">
        <v>0.68799999999999994</v>
      </c>
      <c r="I8" s="12"/>
      <c r="J8" t="s">
        <v>37</v>
      </c>
      <c r="K8" s="10">
        <v>0.622</v>
      </c>
      <c r="L8" s="12"/>
    </row>
    <row r="9" spans="1:12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1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</row>
    <row r="11" spans="1:1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</row>
    <row r="12" spans="1:12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</row>
    <row r="13" spans="1:12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</sheetData>
  <mergeCells count="1">
    <mergeCell ref="A1:L1"/>
  </mergeCells>
  <pageMargins left="0.7" right="0.7" top="0.75" bottom="0.75" header="0.3" footer="0.3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/>
  <cp:revision/>
  <dcterms:created xsi:type="dcterms:W3CDTF">2022-05-30T01:30:00Z</dcterms:created>
  <dcterms:modified xsi:type="dcterms:W3CDTF">2025-12-24T16:48:47Z</dcterms:modified>
  <cp:category/>
  <cp:contentStatus/>
</cp:coreProperties>
</file>